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p\Downloads\"/>
    </mc:Choice>
  </mc:AlternateContent>
  <xr:revisionPtr revIDLastSave="0" documentId="8_{45FEE785-09DE-4AE7-BEA0-1ABFBBCC6E4E}" xr6:coauthVersionLast="47" xr6:coauthVersionMax="47" xr10:uidLastSave="{00000000-0000-0000-0000-000000000000}"/>
  <bookViews>
    <workbookView xWindow="-108" yWindow="-108" windowWidth="23256" windowHeight="12456" xr2:uid="{D946C786-B9E6-4FBE-A221-C1E65B1EF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H17" i="1"/>
  <c r="I13" i="1"/>
  <c r="I17" i="1" s="1"/>
  <c r="I14" i="1"/>
  <c r="I15" i="1"/>
  <c r="I16" i="1"/>
  <c r="I12" i="1"/>
  <c r="H13" i="1"/>
  <c r="H14" i="1"/>
  <c r="H15" i="1"/>
  <c r="H16" i="1"/>
  <c r="H12" i="1"/>
  <c r="I4" i="1"/>
  <c r="I5" i="1"/>
  <c r="I6" i="1"/>
  <c r="I7" i="1"/>
  <c r="I3" i="1"/>
  <c r="I8" i="1" s="1"/>
  <c r="H4" i="1"/>
  <c r="H8" i="1" s="1"/>
  <c r="L11" i="1" s="1"/>
  <c r="H5" i="1"/>
  <c r="H6" i="1"/>
  <c r="H7" i="1"/>
  <c r="H3" i="1"/>
</calcChain>
</file>

<file path=xl/sharedStrings.xml><?xml version="1.0" encoding="utf-8"?>
<sst xmlns="http://schemas.openxmlformats.org/spreadsheetml/2006/main" count="20" uniqueCount="11">
  <si>
    <t>6V</t>
  </si>
  <si>
    <t>Tors</t>
  </si>
  <si>
    <t>Rsh</t>
  </si>
  <si>
    <t>Vin</t>
  </si>
  <si>
    <t>Vsh</t>
  </si>
  <si>
    <t>12 Voltage Situation</t>
  </si>
  <si>
    <t>Vsteady</t>
  </si>
  <si>
    <t>Rm</t>
  </si>
  <si>
    <t>Lm</t>
  </si>
  <si>
    <t>6 Voltage Situation</t>
  </si>
  <si>
    <t>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</si>
</sst>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11" fontId="0" fillId="0" borderId="6" xfId="0" applyNumberFormat="1" applyBorder="1"/>
    <xf numFmtId="11" fontId="0" fillId="0" borderId="9" xfId="0" applyNumberFormat="1" applyBorder="1"/>
    <xf numFmtId="0" fontId="0" fillId="0" borderId="0" xfId="0" applyBorder="1" applyAlignment="1">
      <alignment horizontal="center"/>
    </xf>
    <xf numFmtId="0" fontId="0" fillId="0" borderId="5" xfId="0" applyFill="1" applyBorder="1"/>
    <xf numFmtId="11" fontId="0" fillId="0" borderId="6" xfId="0" applyNumberFormat="1" applyFill="1" applyBorder="1"/>
    <xf numFmtId="11" fontId="0" fillId="0" borderId="0" xfId="0" applyNumberFormat="1" applyBorder="1"/>
    <xf numFmtId="11" fontId="0" fillId="0" borderId="0" xfId="0" applyNumberForma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EA5B-64DE-49CF-9FBF-2BFADA428FAF}">
  <dimension ref="A1:L17"/>
  <sheetViews>
    <sheetView tabSelected="1" workbookViewId="0">
      <selection activeCell="M13" sqref="M13"/>
    </sheetView>
  </sheetViews>
  <sheetFormatPr defaultRowHeight="14.4" x14ac:dyDescent="0.3"/>
  <sheetData>
    <row r="1" spans="1:12" ht="15" thickBot="1" x14ac:dyDescent="0.35">
      <c r="A1" s="1" t="s">
        <v>5</v>
      </c>
      <c r="B1" s="2"/>
      <c r="C1" s="2"/>
      <c r="D1" s="2"/>
      <c r="E1" s="3"/>
      <c r="H1" s="10" t="s">
        <v>10</v>
      </c>
      <c r="I1" s="11"/>
      <c r="J1" s="19"/>
    </row>
    <row r="2" spans="1:12" ht="15" thickBot="1" x14ac:dyDescent="0.35">
      <c r="A2" s="13" t="s">
        <v>1</v>
      </c>
      <c r="B2" s="14" t="s">
        <v>4</v>
      </c>
      <c r="C2" s="14" t="s">
        <v>3</v>
      </c>
      <c r="D2" s="14" t="s">
        <v>2</v>
      </c>
      <c r="E2" s="15" t="s">
        <v>6</v>
      </c>
      <c r="H2" s="12" t="s">
        <v>7</v>
      </c>
      <c r="I2" s="16" t="s">
        <v>8</v>
      </c>
      <c r="J2" s="5"/>
    </row>
    <row r="3" spans="1:12" x14ac:dyDescent="0.3">
      <c r="A3" s="4">
        <v>96</v>
      </c>
      <c r="B3" s="5">
        <v>6</v>
      </c>
      <c r="C3" s="5">
        <v>12</v>
      </c>
      <c r="D3" s="5">
        <v>9.6</v>
      </c>
      <c r="E3" s="6">
        <v>10</v>
      </c>
      <c r="H3" s="4">
        <f>$D$3*(($C$3/B3)-1)</f>
        <v>9.6</v>
      </c>
      <c r="I3" s="17">
        <f>$D$3*((A3*10^-6)*($C$3/B3))</f>
        <v>1.8431999999999999E-3</v>
      </c>
      <c r="J3" s="22"/>
    </row>
    <row r="4" spans="1:12" x14ac:dyDescent="0.3">
      <c r="A4" s="4">
        <v>98</v>
      </c>
      <c r="B4" s="5">
        <v>6.2</v>
      </c>
      <c r="C4" s="5"/>
      <c r="D4" s="5"/>
      <c r="E4" s="6"/>
      <c r="H4" s="4">
        <f t="shared" ref="H4:H7" si="0">$D$3*(($C$3/B4)-1)</f>
        <v>8.9806451612903206</v>
      </c>
      <c r="I4" s="17">
        <f t="shared" ref="I4:I7" si="1">$D$3*((A4*10^-6)*($C$3/B4))</f>
        <v>1.8209032258064512E-3</v>
      </c>
      <c r="J4" s="22"/>
    </row>
    <row r="5" spans="1:12" x14ac:dyDescent="0.3">
      <c r="A5" s="4">
        <v>96</v>
      </c>
      <c r="B5" s="5">
        <v>6</v>
      </c>
      <c r="C5" s="5"/>
      <c r="D5" s="5"/>
      <c r="E5" s="6"/>
      <c r="H5" s="4">
        <f t="shared" si="0"/>
        <v>9.6</v>
      </c>
      <c r="I5" s="17">
        <f t="shared" si="1"/>
        <v>1.8431999999999999E-3</v>
      </c>
      <c r="J5" s="22"/>
    </row>
    <row r="6" spans="1:12" x14ac:dyDescent="0.3">
      <c r="A6" s="4">
        <v>98</v>
      </c>
      <c r="B6" s="5">
        <v>6.2</v>
      </c>
      <c r="C6" s="5"/>
      <c r="D6" s="5"/>
      <c r="E6" s="6"/>
      <c r="H6" s="4">
        <f t="shared" si="0"/>
        <v>8.9806451612903206</v>
      </c>
      <c r="I6" s="17">
        <f t="shared" si="1"/>
        <v>1.8209032258064512E-3</v>
      </c>
      <c r="J6" s="22"/>
    </row>
    <row r="7" spans="1:12" ht="15" thickBot="1" x14ac:dyDescent="0.35">
      <c r="A7" s="7">
        <v>96</v>
      </c>
      <c r="B7" s="8">
        <v>6.2</v>
      </c>
      <c r="C7" s="8"/>
      <c r="D7" s="8"/>
      <c r="E7" s="9"/>
      <c r="H7" s="7">
        <f t="shared" si="0"/>
        <v>8.9806451612903206</v>
      </c>
      <c r="I7" s="18">
        <f t="shared" si="1"/>
        <v>1.7837419354838709E-3</v>
      </c>
      <c r="J7" s="22"/>
    </row>
    <row r="8" spans="1:12" x14ac:dyDescent="0.3">
      <c r="H8" s="20">
        <f>AVERAGE(H3:H7)</f>
        <v>9.2283870967741919</v>
      </c>
      <c r="I8" s="21">
        <f>AVERAGE(I3:I7)</f>
        <v>1.8223896774193545E-3</v>
      </c>
      <c r="J8" s="23"/>
    </row>
    <row r="9" spans="1:12" ht="15" thickBot="1" x14ac:dyDescent="0.35">
      <c r="K9" s="5"/>
    </row>
    <row r="10" spans="1:12" ht="15" thickBot="1" x14ac:dyDescent="0.35">
      <c r="A10" s="1" t="s">
        <v>9</v>
      </c>
      <c r="B10" s="2"/>
      <c r="C10" s="2"/>
      <c r="D10" s="2"/>
      <c r="E10" s="3"/>
      <c r="H10" s="10" t="s">
        <v>0</v>
      </c>
      <c r="I10" s="11"/>
      <c r="J10" s="19"/>
    </row>
    <row r="11" spans="1:12" ht="15" thickBot="1" x14ac:dyDescent="0.35">
      <c r="A11" s="13" t="s">
        <v>1</v>
      </c>
      <c r="B11" s="14" t="s">
        <v>4</v>
      </c>
      <c r="C11" s="14" t="s">
        <v>3</v>
      </c>
      <c r="D11" s="14" t="s">
        <v>2</v>
      </c>
      <c r="E11" s="15" t="s">
        <v>6</v>
      </c>
      <c r="H11" s="12" t="s">
        <v>7</v>
      </c>
      <c r="I11" s="16" t="s">
        <v>8</v>
      </c>
      <c r="J11" s="5"/>
      <c r="K11" s="24" t="s">
        <v>7</v>
      </c>
      <c r="L11" s="25">
        <f>AVERAGE(H8,H17)</f>
        <v>9.0473919289538962</v>
      </c>
    </row>
    <row r="12" spans="1:12" ht="15" thickBot="1" x14ac:dyDescent="0.35">
      <c r="A12" s="4">
        <v>90</v>
      </c>
      <c r="B12" s="5">
        <v>3.12</v>
      </c>
      <c r="C12" s="5">
        <v>6</v>
      </c>
      <c r="D12" s="5">
        <v>9.6</v>
      </c>
      <c r="E12" s="6">
        <v>4.8</v>
      </c>
      <c r="H12" s="4">
        <f>$D$12*(($C$12/B12)-1)</f>
        <v>8.8615384615384603</v>
      </c>
      <c r="I12" s="17">
        <f>$D$12*((A12*10^-6)*($C$12/B12))</f>
        <v>1.661538461538461E-3</v>
      </c>
      <c r="J12" s="22"/>
      <c r="K12" s="26" t="s">
        <v>8</v>
      </c>
      <c r="L12" s="27">
        <f>AVERAGE(I8,I17)</f>
        <v>1.7419057698837663E-3</v>
      </c>
    </row>
    <row r="13" spans="1:12" x14ac:dyDescent="0.3">
      <c r="A13" s="4">
        <v>86</v>
      </c>
      <c r="B13" s="5">
        <v>3.12</v>
      </c>
      <c r="C13" s="5"/>
      <c r="D13" s="5"/>
      <c r="E13" s="6"/>
      <c r="H13" s="4">
        <f t="shared" ref="H13:H16" si="2">$D$12*(($C$12/B13)-1)</f>
        <v>8.8615384615384603</v>
      </c>
      <c r="I13" s="17">
        <f t="shared" ref="I13:I16" si="3">$D$12*((A13*10^-6)*($C$12/B13))</f>
        <v>1.5876923076923071E-3</v>
      </c>
      <c r="J13" s="22"/>
    </row>
    <row r="14" spans="1:12" x14ac:dyDescent="0.3">
      <c r="A14" s="4">
        <v>88</v>
      </c>
      <c r="B14" s="5">
        <v>3.12</v>
      </c>
      <c r="C14" s="5"/>
      <c r="D14" s="5"/>
      <c r="E14" s="6"/>
      <c r="H14" s="4">
        <f t="shared" si="2"/>
        <v>8.8615384615384603</v>
      </c>
      <c r="I14" s="17">
        <f t="shared" si="3"/>
        <v>1.6246153846153843E-3</v>
      </c>
      <c r="J14" s="22"/>
    </row>
    <row r="15" spans="1:12" x14ac:dyDescent="0.3">
      <c r="A15" s="4">
        <v>96</v>
      </c>
      <c r="B15" s="5">
        <v>3.2</v>
      </c>
      <c r="C15" s="5"/>
      <c r="D15" s="5"/>
      <c r="E15" s="6"/>
      <c r="H15" s="4">
        <f t="shared" si="2"/>
        <v>8.4</v>
      </c>
      <c r="I15" s="17">
        <f t="shared" si="3"/>
        <v>1.7280000000000002E-3</v>
      </c>
      <c r="J15" s="22"/>
    </row>
    <row r="16" spans="1:12" ht="15" thickBot="1" x14ac:dyDescent="0.35">
      <c r="A16" s="7">
        <v>90</v>
      </c>
      <c r="B16" s="8">
        <v>3.04</v>
      </c>
      <c r="C16" s="8"/>
      <c r="D16" s="8"/>
      <c r="E16" s="9"/>
      <c r="H16" s="7">
        <f t="shared" si="2"/>
        <v>9.3473684210526304</v>
      </c>
      <c r="I16" s="18">
        <f t="shared" si="3"/>
        <v>1.7052631578947366E-3</v>
      </c>
      <c r="J16" s="22"/>
    </row>
    <row r="17" spans="8:10" x14ac:dyDescent="0.3">
      <c r="H17" s="20">
        <f>AVERAGE(H12:H16)</f>
        <v>8.8663967611336023</v>
      </c>
      <c r="I17" s="21">
        <f>AVERAGE(I12:I16)</f>
        <v>1.6614218623481781E-3</v>
      </c>
      <c r="J17" s="23"/>
    </row>
  </sheetData>
  <mergeCells count="4">
    <mergeCell ref="A1:E1"/>
    <mergeCell ref="A10:E10"/>
    <mergeCell ref="H10:I10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CHAWANAKORN JENKIT</dc:creator>
  <cp:lastModifiedBy>CHAWANAKORN JENKIT</cp:lastModifiedBy>
  <dcterms:created xsi:type="dcterms:W3CDTF">2026-05-08T15:11:58Z</dcterms:created>
  <dcterms:modified xsi:type="dcterms:W3CDTF">2026-05-08T15:56:46Z</dcterms:modified>
</cp:coreProperties>
</file>