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jap\Downloads\Studio_1_DoF\Result\"/>
    </mc:Choice>
  </mc:AlternateContent>
  <xr:revisionPtr revIDLastSave="0" documentId="13_ncr:1_{A9EEA794-2DA2-4E90-9054-A155F43B2478}" xr6:coauthVersionLast="47" xr6:coauthVersionMax="47" xr10:uidLastSave="{00000000-0000-0000-0000-000000000000}"/>
  <bookViews>
    <workbookView xWindow="-108" yWindow="-108" windowWidth="23256" windowHeight="12456" xr2:uid="{D946C786-B9E6-4FBE-A221-C1E65B1EF3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F8" i="1"/>
  <c r="F4" i="1"/>
  <c r="F5" i="1"/>
  <c r="F6" i="1"/>
  <c r="F7" i="1"/>
  <c r="F3" i="1"/>
  <c r="F13" i="1"/>
  <c r="F14" i="1"/>
  <c r="F15" i="1"/>
  <c r="F16" i="1"/>
  <c r="F12" i="1"/>
  <c r="L12" i="1"/>
  <c r="H17" i="1"/>
  <c r="I13" i="1"/>
  <c r="I17" i="1" s="1"/>
  <c r="I14" i="1"/>
  <c r="I15" i="1"/>
  <c r="I16" i="1"/>
  <c r="I12" i="1"/>
  <c r="H13" i="1"/>
  <c r="H14" i="1"/>
  <c r="H15" i="1"/>
  <c r="H16" i="1"/>
  <c r="H12" i="1"/>
  <c r="I4" i="1"/>
  <c r="I5" i="1"/>
  <c r="I6" i="1"/>
  <c r="I7" i="1"/>
  <c r="I3" i="1"/>
  <c r="I8" i="1" s="1"/>
  <c r="H4" i="1"/>
  <c r="H8" i="1" s="1"/>
  <c r="L11" i="1" s="1"/>
  <c r="H5" i="1"/>
  <c r="H6" i="1"/>
  <c r="H7" i="1"/>
  <c r="H3" i="1"/>
</calcChain>
</file>

<file path=xl/sharedStrings.xml><?xml version="1.0" encoding="utf-8"?>
<sst xmlns="http://schemas.openxmlformats.org/spreadsheetml/2006/main" count="25" uniqueCount="15">
  <si>
    <t>6V</t>
  </si>
  <si>
    <t>Tors</t>
  </si>
  <si>
    <t>Rsh</t>
  </si>
  <si>
    <t>Vin</t>
  </si>
  <si>
    <t>Vsh</t>
  </si>
  <si>
    <t>12 Voltage Situation</t>
  </si>
  <si>
    <t>Vsteady</t>
  </si>
  <si>
    <t>Rm</t>
  </si>
  <si>
    <t>Lm</t>
  </si>
  <si>
    <t>6 Voltage Situation</t>
  </si>
  <si>
    <t>12V</t>
  </si>
  <si>
    <t>I</t>
  </si>
  <si>
    <t>rad/s</t>
  </si>
  <si>
    <t>Ke</t>
  </si>
  <si>
    <t>Iavg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</si>
</sst>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" xfId="0" applyBorder="1"/>
    <xf numFmtId="11" fontId="0" fillId="0" borderId="6" xfId="0" applyNumberFormat="1" applyBorder="1"/>
    <xf numFmtId="11" fontId="0" fillId="0" borderId="9" xfId="0" applyNumberFormat="1" applyBorder="1"/>
    <xf numFmtId="0" fontId="0" fillId="0" borderId="0" xfId="0" applyAlignment="1">
      <alignment horizontal="center"/>
    </xf>
    <xf numFmtId="11" fontId="0" fillId="0" borderId="0" xfId="0" applyNumberFormat="1"/>
    <xf numFmtId="0" fontId="1" fillId="2" borderId="2" xfId="0" applyFont="1" applyFill="1" applyBorder="1"/>
    <xf numFmtId="0" fontId="1" fillId="2" borderId="4" xfId="0" applyFont="1" applyFill="1" applyBorder="1"/>
    <xf numFmtId="0" fontId="1" fillId="2" borderId="7" xfId="0" applyFont="1" applyFill="1" applyBorder="1"/>
    <xf numFmtId="0" fontId="1" fillId="2" borderId="9" xfId="0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EEA5B-64DE-49CF-9FBF-2BFADA428FAF}">
  <dimension ref="A1:L17"/>
  <sheetViews>
    <sheetView tabSelected="1" workbookViewId="0">
      <selection activeCell="E9" sqref="E9"/>
    </sheetView>
  </sheetViews>
  <sheetFormatPr defaultRowHeight="14.4" x14ac:dyDescent="0.3"/>
  <sheetData>
    <row r="1" spans="1:12" ht="15" thickBot="1" x14ac:dyDescent="0.35">
      <c r="A1" s="19" t="s">
        <v>5</v>
      </c>
      <c r="B1" s="20"/>
      <c r="C1" s="20"/>
      <c r="D1" s="20"/>
      <c r="E1" s="21"/>
      <c r="H1" s="22" t="s">
        <v>10</v>
      </c>
      <c r="I1" s="23"/>
      <c r="J1" s="13"/>
    </row>
    <row r="2" spans="1:12" ht="15" thickBot="1" x14ac:dyDescent="0.35">
      <c r="A2" s="7" t="s">
        <v>1</v>
      </c>
      <c r="B2" s="8" t="s">
        <v>4</v>
      </c>
      <c r="C2" s="8" t="s">
        <v>3</v>
      </c>
      <c r="D2" s="8" t="s">
        <v>2</v>
      </c>
      <c r="E2" s="9" t="s">
        <v>6</v>
      </c>
      <c r="F2" s="24" t="s">
        <v>11</v>
      </c>
      <c r="G2" s="24" t="s">
        <v>12</v>
      </c>
      <c r="H2" s="6" t="s">
        <v>7</v>
      </c>
      <c r="I2" s="10" t="s">
        <v>8</v>
      </c>
      <c r="K2" t="s">
        <v>13</v>
      </c>
    </row>
    <row r="3" spans="1:12" x14ac:dyDescent="0.3">
      <c r="A3" s="1">
        <v>96</v>
      </c>
      <c r="B3">
        <v>6</v>
      </c>
      <c r="C3">
        <v>12</v>
      </c>
      <c r="D3">
        <v>9.6</v>
      </c>
      <c r="E3" s="2">
        <v>10</v>
      </c>
      <c r="F3">
        <f>B3/$D$3</f>
        <v>0.625</v>
      </c>
      <c r="G3">
        <v>2.3788659999999999</v>
      </c>
      <c r="H3" s="1">
        <f>$D$3*(($C$3/B3)-1)</f>
        <v>9.6</v>
      </c>
      <c r="I3" s="11">
        <f>$D$3*((A3*10^-6)*($C$3/B3))</f>
        <v>1.8431999999999999E-3</v>
      </c>
      <c r="J3" s="14"/>
      <c r="K3">
        <f>(C3-(F8*L11))/G3</f>
        <v>2.6198565389105104</v>
      </c>
    </row>
    <row r="4" spans="1:12" x14ac:dyDescent="0.3">
      <c r="A4" s="1">
        <v>98</v>
      </c>
      <c r="B4">
        <v>6.2</v>
      </c>
      <c r="E4" s="2"/>
      <c r="F4">
        <f t="shared" ref="F4:F7" si="0">B4/$D$3</f>
        <v>0.64583333333333337</v>
      </c>
      <c r="H4" s="1">
        <f t="shared" ref="H4:H7" si="1">$D$3*(($C$3/B4)-1)</f>
        <v>8.9806451612903206</v>
      </c>
      <c r="I4" s="11">
        <f t="shared" ref="I4:I7" si="2">$D$3*((A4*10^-6)*($C$3/B4))</f>
        <v>1.8209032258064512E-3</v>
      </c>
      <c r="J4" s="14"/>
    </row>
    <row r="5" spans="1:12" x14ac:dyDescent="0.3">
      <c r="A5" s="1">
        <v>96</v>
      </c>
      <c r="B5">
        <v>6</v>
      </c>
      <c r="E5" s="2"/>
      <c r="F5">
        <f t="shared" si="0"/>
        <v>0.625</v>
      </c>
      <c r="H5" s="1">
        <f t="shared" si="1"/>
        <v>9.6</v>
      </c>
      <c r="I5" s="11">
        <f t="shared" si="2"/>
        <v>1.8431999999999999E-3</v>
      </c>
      <c r="J5" s="14"/>
    </row>
    <row r="6" spans="1:12" x14ac:dyDescent="0.3">
      <c r="A6" s="1">
        <v>98</v>
      </c>
      <c r="B6">
        <v>6.2</v>
      </c>
      <c r="E6" s="2"/>
      <c r="F6">
        <f t="shared" si="0"/>
        <v>0.64583333333333337</v>
      </c>
      <c r="H6" s="1">
        <f t="shared" si="1"/>
        <v>8.9806451612903206</v>
      </c>
      <c r="I6" s="11">
        <f t="shared" si="2"/>
        <v>1.8209032258064512E-3</v>
      </c>
      <c r="J6" s="14"/>
    </row>
    <row r="7" spans="1:12" ht="15" thickBot="1" x14ac:dyDescent="0.35">
      <c r="A7" s="3">
        <v>96</v>
      </c>
      <c r="B7" s="4">
        <v>6.2</v>
      </c>
      <c r="C7" s="4"/>
      <c r="D7" s="4"/>
      <c r="E7" s="5"/>
      <c r="F7">
        <f t="shared" si="0"/>
        <v>0.64583333333333337</v>
      </c>
      <c r="H7" s="3">
        <f t="shared" si="1"/>
        <v>8.9806451612903206</v>
      </c>
      <c r="I7" s="12">
        <f t="shared" si="2"/>
        <v>1.7837419354838709E-3</v>
      </c>
      <c r="J7" s="14"/>
    </row>
    <row r="8" spans="1:12" x14ac:dyDescent="0.3">
      <c r="E8" t="s">
        <v>14</v>
      </c>
      <c r="F8">
        <f>AVERAGE(F3:F7)</f>
        <v>0.63750000000000007</v>
      </c>
      <c r="H8" s="1">
        <f>AVERAGE(H3:H7)</f>
        <v>9.2283870967741919</v>
      </c>
      <c r="I8" s="11">
        <f>AVERAGE(I3:I7)</f>
        <v>1.8223896774193545E-3</v>
      </c>
      <c r="J8" s="14"/>
    </row>
    <row r="9" spans="1:12" ht="15" thickBot="1" x14ac:dyDescent="0.35"/>
    <row r="10" spans="1:12" ht="15" thickBot="1" x14ac:dyDescent="0.35">
      <c r="A10" s="19" t="s">
        <v>9</v>
      </c>
      <c r="B10" s="20"/>
      <c r="C10" s="20"/>
      <c r="D10" s="20"/>
      <c r="E10" s="21"/>
      <c r="H10" s="22" t="s">
        <v>0</v>
      </c>
      <c r="I10" s="23"/>
      <c r="J10" s="13"/>
    </row>
    <row r="11" spans="1:12" ht="15" thickBot="1" x14ac:dyDescent="0.35">
      <c r="A11" s="7" t="s">
        <v>1</v>
      </c>
      <c r="B11" s="8" t="s">
        <v>4</v>
      </c>
      <c r="C11" s="8" t="s">
        <v>3</v>
      </c>
      <c r="D11" s="8" t="s">
        <v>2</v>
      </c>
      <c r="E11" s="9" t="s">
        <v>6</v>
      </c>
      <c r="F11" s="24" t="s">
        <v>11</v>
      </c>
      <c r="H11" s="6" t="s">
        <v>7</v>
      </c>
      <c r="I11" s="10" t="s">
        <v>8</v>
      </c>
      <c r="K11" s="15" t="s">
        <v>7</v>
      </c>
      <c r="L11" s="16">
        <f>AVERAGE(H8,H17)</f>
        <v>9.0473919289538962</v>
      </c>
    </row>
    <row r="12" spans="1:12" ht="15" thickBot="1" x14ac:dyDescent="0.35">
      <c r="A12" s="1">
        <v>90</v>
      </c>
      <c r="B12">
        <v>3.12</v>
      </c>
      <c r="C12">
        <v>6</v>
      </c>
      <c r="D12">
        <v>9.6</v>
      </c>
      <c r="E12" s="2">
        <v>4.8</v>
      </c>
      <c r="F12">
        <f>B12/$D$12</f>
        <v>0.32500000000000001</v>
      </c>
      <c r="H12" s="1">
        <f>$D$12*(($C$12/B12)-1)</f>
        <v>8.8615384615384603</v>
      </c>
      <c r="I12" s="11">
        <f>$D$12*((A12*10^-6)*($C$12/B12))</f>
        <v>1.661538461538461E-3</v>
      </c>
      <c r="J12" s="14"/>
      <c r="K12" s="17" t="s">
        <v>8</v>
      </c>
      <c r="L12" s="18">
        <f>AVERAGE(I8,I17)</f>
        <v>1.7419057698837663E-3</v>
      </c>
    </row>
    <row r="13" spans="1:12" x14ac:dyDescent="0.3">
      <c r="A13" s="1">
        <v>86</v>
      </c>
      <c r="B13">
        <v>3.12</v>
      </c>
      <c r="E13" s="2"/>
      <c r="F13">
        <f t="shared" ref="F13:F16" si="3">B13/$D$12</f>
        <v>0.32500000000000001</v>
      </c>
      <c r="H13" s="1">
        <f t="shared" ref="H13:H16" si="4">$D$12*(($C$12/B13)-1)</f>
        <v>8.8615384615384603</v>
      </c>
      <c r="I13" s="11">
        <f t="shared" ref="I13:I16" si="5">$D$12*((A13*10^-6)*($C$12/B13))</f>
        <v>1.5876923076923071E-3</v>
      </c>
      <c r="J13" s="14"/>
    </row>
    <row r="14" spans="1:12" x14ac:dyDescent="0.3">
      <c r="A14" s="1">
        <v>88</v>
      </c>
      <c r="B14">
        <v>3.12</v>
      </c>
      <c r="E14" s="2"/>
      <c r="F14">
        <f t="shared" si="3"/>
        <v>0.32500000000000001</v>
      </c>
      <c r="H14" s="1">
        <f t="shared" si="4"/>
        <v>8.8615384615384603</v>
      </c>
      <c r="I14" s="11">
        <f t="shared" si="5"/>
        <v>1.6246153846153843E-3</v>
      </c>
      <c r="J14" s="14"/>
    </row>
    <row r="15" spans="1:12" x14ac:dyDescent="0.3">
      <c r="A15" s="1">
        <v>96</v>
      </c>
      <c r="B15">
        <v>3.2</v>
      </c>
      <c r="E15" s="2"/>
      <c r="F15">
        <f t="shared" si="3"/>
        <v>0.33333333333333337</v>
      </c>
      <c r="H15" s="1">
        <f t="shared" si="4"/>
        <v>8.4</v>
      </c>
      <c r="I15" s="11">
        <f t="shared" si="5"/>
        <v>1.7280000000000002E-3</v>
      </c>
      <c r="J15" s="14"/>
    </row>
    <row r="16" spans="1:12" ht="15" thickBot="1" x14ac:dyDescent="0.35">
      <c r="A16" s="3">
        <v>90</v>
      </c>
      <c r="B16" s="4">
        <v>3.04</v>
      </c>
      <c r="C16" s="4"/>
      <c r="D16" s="4"/>
      <c r="E16" s="5"/>
      <c r="F16">
        <f t="shared" si="3"/>
        <v>0.31666666666666671</v>
      </c>
      <c r="H16" s="3">
        <f t="shared" si="4"/>
        <v>9.3473684210526304</v>
      </c>
      <c r="I16" s="12">
        <f t="shared" si="5"/>
        <v>1.7052631578947366E-3</v>
      </c>
      <c r="J16" s="14"/>
    </row>
    <row r="17" spans="8:10" x14ac:dyDescent="0.3">
      <c r="H17" s="1">
        <f>AVERAGE(H12:H16)</f>
        <v>8.8663967611336023</v>
      </c>
      <c r="I17" s="11">
        <f>AVERAGE(I12:I16)</f>
        <v>1.6614218623481781E-3</v>
      </c>
      <c r="J17" s="14"/>
    </row>
  </sheetData>
  <mergeCells count="4">
    <mergeCell ref="A1:E1"/>
    <mergeCell ref="A10:E10"/>
    <mergeCell ref="H10:I10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CHAWANAKORN JENKIT</dc:creator>
  <cp:lastModifiedBy>CHAWANAKORN JENKIT</cp:lastModifiedBy>
  <dcterms:created xsi:type="dcterms:W3CDTF">2026-05-08T15:11:58Z</dcterms:created>
  <dcterms:modified xsi:type="dcterms:W3CDTF">2026-06-02T13:36:43Z</dcterms:modified>
</cp:coreProperties>
</file>